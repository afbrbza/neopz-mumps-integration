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0" windowHeight="12450" activeTab="1"/>
  </bookViews>
  <sheets>
    <sheet name="Sheet1" sheetId="2" r:id="rId1"/>
    <sheet name="solver_performance_results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<sst xmlns="http://schemas.openxmlformats.org/spreadsheetml/2006/main" count="90" uniqueCount="14">
  <si>
    <t>NumEquations</t>
  </si>
  <si>
    <t>Sum of SpeedUp</t>
  </si>
  <si>
    <t>Solver</t>
  </si>
  <si>
    <t>RealUsedThreadsSolve</t>
  </si>
  <si>
    <t>MUMPS</t>
  </si>
  <si>
    <t>Pardiso</t>
  </si>
  <si>
    <t>Grand Total</t>
  </si>
  <si>
    <t>NumElementsPerDir</t>
  </si>
  <si>
    <t>PolyOrder</t>
  </si>
  <si>
    <t>NumSolverThreads</t>
  </si>
  <si>
    <t>AssemblyTime_s</t>
  </si>
  <si>
    <t>RealUsedThreadsAssembly</t>
  </si>
  <si>
    <t>SolveTime_s</t>
  </si>
  <si>
    <t>SpeedUp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</si>
</sst>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9" fillId="3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[solver_performance_results.xlsx]Sheet1!PivotTable1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Sheet1!$A$6:$A$18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Sheet1!$B$6:$B$18</c:f>
              <c:numCache>
                <c:formatCode>General</c:formatCode>
                <c:ptCount val="12"/>
                <c:pt idx="0">
                  <c:v>1</c:v>
                </c:pt>
                <c:pt idx="1">
                  <c:v>0.808694426388704</c:v>
                </c:pt>
                <c:pt idx="2">
                  <c:v>0.928165026290953</c:v>
                </c:pt>
                <c:pt idx="3">
                  <c:v>0.952909584186922</c:v>
                </c:pt>
                <c:pt idx="4">
                  <c:v>0.95068127416682</c:v>
                </c:pt>
                <c:pt idx="5">
                  <c:v>0.935615979124573</c:v>
                </c:pt>
                <c:pt idx="6">
                  <c:v>0.790173242324998</c:v>
                </c:pt>
                <c:pt idx="7">
                  <c:v>0.945320224101944</c:v>
                </c:pt>
                <c:pt idx="8">
                  <c:v>0.773656292611295</c:v>
                </c:pt>
                <c:pt idx="9">
                  <c:v>0.791469303288112</c:v>
                </c:pt>
                <c:pt idx="10">
                  <c:v>0.778837886353009</c:v>
                </c:pt>
                <c:pt idx="11">
                  <c:v>0.791882026349289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Pardiso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Sheet1!$A$6:$A$18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Sheet1!$C$6:$C$18</c:f>
              <c:numCache>
                <c:formatCode>General</c:formatCode>
                <c:ptCount val="12"/>
                <c:pt idx="0">
                  <c:v>1</c:v>
                </c:pt>
                <c:pt idx="1">
                  <c:v>1.03548972815359</c:v>
                </c:pt>
                <c:pt idx="2">
                  <c:v>1.05400373495862</c:v>
                </c:pt>
                <c:pt idx="3">
                  <c:v>1.03750307118447</c:v>
                </c:pt>
                <c:pt idx="4">
                  <c:v>1.11165876300873</c:v>
                </c:pt>
                <c:pt idx="5">
                  <c:v>1.09085817215109</c:v>
                </c:pt>
                <c:pt idx="6">
                  <c:v>1.07211185034304</c:v>
                </c:pt>
                <c:pt idx="7">
                  <c:v>1.1195453855257</c:v>
                </c:pt>
                <c:pt idx="8">
                  <c:v>0.926739754997805</c:v>
                </c:pt>
                <c:pt idx="9">
                  <c:v>0.982891984625004</c:v>
                </c:pt>
                <c:pt idx="10">
                  <c:v>0.899462646682933</c:v>
                </c:pt>
                <c:pt idx="11">
                  <c:v>0.977827856169993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4134582"/>
        <c:axId val="448026798"/>
      </c:lineChart>
      <c:catAx>
        <c:axId val="374134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026798"/>
        <c:crosses val="autoZero"/>
        <c:auto val="1"/>
        <c:lblAlgn val="ctr"/>
        <c:lblOffset val="100"/>
        <c:noMultiLvlLbl val="0"/>
      </c:catAx>
      <c:valAx>
        <c:axId val="448026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345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111125</xdr:colOff>
      <xdr:row>1</xdr:row>
      <xdr:rowOff>12700</xdr:rowOff>
    </xdr:from>
    <xdr:to>
      <xdr:col>11</xdr:col>
      <xdr:colOff>996950</xdr:colOff>
      <xdr:row>38</xdr:row>
      <xdr:rowOff>116840</xdr:rowOff>
    </xdr:to>
    <xdr:graphicFrame>
      <xdr:nvGraphicFramePr>
        <xdr:cNvPr id="2" name="Chart 1"/>
        <xdr:cNvGraphicFramePr/>
      </xdr:nvGraphicFramePr>
      <xdr:xfrm>
        <a:off x="5930900" y="203200"/>
        <a:ext cx="11182350" cy="715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9.6780902778" refreshedBy="alexandre" recordCount="72">
  <cacheSource type="worksheet">
    <worksheetSource name="Table1"/>
  </cacheSource>
  <cacheFields count="10">
    <cacheField name="NumElementsPerDir" numFmtId="0">
      <sharedItems containsSemiMixedTypes="0" containsString="0" containsNumber="1" containsInteger="1" minValue="150" maxValue="150" count="1">
        <n v="150"/>
      </sharedItems>
    </cacheField>
    <cacheField name="PolyOrder" numFmtId="0">
      <sharedItems containsSemiMixedTypes="0" containsString="0" containsNumber="1" containsInteger="1" minValue="1" maxValue="3" count="3">
        <n v="1"/>
        <n v="2"/>
        <n v="3"/>
      </sharedItems>
    </cacheField>
    <cacheField name="NumEquations" numFmtId="0">
      <sharedItems containsSemiMixedTypes="0" containsString="0" containsNumber="1" containsInteger="1" minValue="22801" maxValue="203401" count="3">
        <n v="22801"/>
        <n v="90601"/>
        <n v="203401"/>
      </sharedItems>
    </cacheField>
    <cacheField name="Solver" numFmtId="0">
      <sharedItems count="2">
        <s v="Pardiso"/>
        <s v="MUMPS"/>
      </sharedItems>
    </cacheField>
    <cacheField name="NumSolverThread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ssemblyTime_s" numFmtId="0">
      <sharedItems containsSemiMixedTypes="0" containsString="0" containsNumber="1" minValue="1.36602" maxValue="10.9989" count="72">
        <n v="1.4206"/>
        <n v="1.41387"/>
        <n v="1.39089"/>
        <n v="1.38018"/>
        <n v="1.37526"/>
        <n v="1.36602"/>
        <n v="1.39627"/>
        <n v="1.41253"/>
        <n v="1.412"/>
        <n v="1.38561"/>
        <n v="1.36951"/>
        <n v="1.39554"/>
        <n v="1.39336"/>
        <n v="1.41498"/>
        <n v="1.39558"/>
        <n v="1.40768"/>
        <n v="1.39953"/>
        <n v="1.40481"/>
        <n v="1.40409"/>
        <n v="1.41213"/>
        <n v="1.39819"/>
        <n v="1.42617"/>
        <n v="1.4262"/>
        <n v="1.40629"/>
        <n v="2.72719"/>
        <n v="2.71946"/>
        <n v="2.7593"/>
        <n v="2.84901"/>
        <n v="2.76398"/>
        <n v="2.69633"/>
        <n v="2.81012"/>
        <n v="2.71441"/>
        <n v="2.70197"/>
        <n v="2.87651"/>
        <n v="2.73449"/>
        <n v="2.84128"/>
        <n v="3.1047"/>
        <n v="2.97801"/>
        <n v="2.88614"/>
        <n v="3.2667"/>
        <n v="2.82472"/>
        <n v="3.0695"/>
        <n v="2.78408"/>
        <n v="2.87029"/>
        <n v="2.83248"/>
        <n v="2.8575"/>
        <n v="2.97238"/>
        <n v="2.7473"/>
        <n v="9.05964"/>
        <n v="9.33381"/>
        <n v="9.45569"/>
        <n v="9.37559"/>
        <n v="9.52709"/>
        <n v="9.56189"/>
        <n v="9.19378"/>
        <n v="9.20452"/>
        <n v="9.31329"/>
        <n v="9.34492"/>
        <n v="9.54315"/>
        <n v="9.71008"/>
        <n v="9.976"/>
        <n v="9.69262"/>
        <n v="9.73316"/>
        <n v="9.88064"/>
        <n v="9.79138"/>
        <n v="10.6096"/>
        <n v="10.4899"/>
        <n v="10.9989"/>
        <n v="10.7954"/>
        <n v="10.7449"/>
        <n v="10.9628"/>
        <n v="10.1927"/>
      </sharedItems>
    </cacheField>
    <cacheField name="RealUsedThreadsAssembly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olveTime_s" numFmtId="0">
      <sharedItems containsSemiMixedTypes="0" containsString="0" containsNumber="1" minValue="0.0829802" maxValue="1.84953" count="72">
        <n v="0.0929001"/>
        <n v="0.0897161"/>
        <n v="0.0881402"/>
        <n v="0.089542"/>
        <n v="0.0835689"/>
        <n v="0.0851624"/>
        <n v="0.0866515"/>
        <n v="0.0829802"/>
        <n v="0.100244"/>
        <n v="0.0945171"/>
        <n v="0.103284"/>
        <n v="0.0950066"/>
        <n v="0.103263"/>
        <n v="0.127691"/>
        <n v="0.111255"/>
        <n v="0.108366"/>
        <n v="0.10862"/>
        <n v="0.110369"/>
        <n v="0.130684"/>
        <n v="0.109236"/>
        <n v="0.133474"/>
        <n v="0.13047"/>
        <n v="0.132586"/>
        <n v="0.130402"/>
        <n v="0.574405"/>
        <n v="0.530605"/>
        <n v="0.569469"/>
        <n v="0.519758"/>
        <n v="0.511009"/>
        <n v="0.504452"/>
        <n v="0.509469"/>
        <n v="0.496937"/>
        <n v="0.548433"/>
        <n v="0.588465"/>
        <n v="0.535437"/>
        <n v="0.597807"/>
        <n v="0.70699"/>
        <n v="0.677075"/>
        <n v="0.719504"/>
        <n v="0.663825"/>
        <n v="0.669432"/>
        <n v="0.646587"/>
        <n v="0.673368"/>
        <n v="0.6948"/>
        <n v="0.660413"/>
        <n v="0.715242"/>
        <n v="0.700698"/>
        <n v="0.65815"/>
        <n v="1.24268"/>
        <n v="1.16262"/>
        <n v="1.15989"/>
        <n v="1.15695"/>
        <n v="1.14293"/>
        <n v="1.08691"/>
        <n v="1.09422"/>
        <n v="1.23425"/>
        <n v="1.16845"/>
        <n v="1.25845"/>
        <n v="1.19801"/>
        <n v="1.24219"/>
        <n v="1.4415"/>
        <n v="1.48369"/>
        <n v="1.4634"/>
        <n v="1.44853"/>
        <n v="1.76297"/>
        <n v="1.46822"/>
        <n v="1.76929"/>
        <n v="1.84953"/>
        <n v="1.70258"/>
        <n v="1.75778"/>
        <n v="1.74591"/>
        <n v="1.49886"/>
      </sharedItems>
    </cacheField>
    <cacheField name="RealUsedThreadsSolve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peedUp" numFmtId="0">
      <sharedItems containsSemiMixedTypes="0" containsString="0" containsNumber="1" minValue="0.773656292611295" maxValue="1.15589098819367" count="67">
        <n v="1"/>
        <n v="1.03548972815359"/>
        <n v="1.05400373495862"/>
        <n v="1.03750307118447"/>
        <n v="1.11165876300873"/>
        <n v="1.09085817215109"/>
        <n v="1.07211185034304"/>
        <n v="1.1195453855257"/>
        <n v="0.926739754997805"/>
        <n v="0.982891984625004"/>
        <n v="0.899462646682933"/>
        <n v="0.977827856169993"/>
        <n v="0.808694426388704"/>
        <n v="0.928165026290953"/>
        <n v="0.952909584186922"/>
        <n v="0.95068127416682"/>
        <n v="0.935615979124573"/>
        <n v="0.790173242324998"/>
        <n v="0.945320224101944"/>
        <n v="0.773656292611295"/>
        <n v="0.791469303288112"/>
        <n v="0.778837886353009"/>
        <n v="0.791882026349289"/>
        <n v="1.08254728093403"/>
        <n v="1.00866772379181"/>
        <n v="1.10513931483498"/>
        <n v="1.12406043729171"/>
        <n v="1.13867127100299"/>
        <n v="1.12745819667144"/>
        <n v="1.15589098819367"/>
        <n v="1.04735674184449"/>
        <n v="0.976107330087601"/>
        <n v="1.07277793652661"/>
        <n v="0.960853586525417"/>
        <n v="1.0441826976332"/>
        <n v="0.9826074629189"/>
        <n v="1.06502466764584"/>
        <n v="1.05610427944885"/>
        <n v="1.09341820976914"/>
        <n v="1.04993109265662"/>
        <n v="1.01754461715602"/>
        <n v="1.07052707926706"/>
        <n v="0.988462646209255"/>
        <n v="1.00897961746715"/>
        <n v="1.07420800729317"/>
        <n v="1.06886170889887"/>
        <n v="1.07137745820724"/>
        <n v="1.07410000432171"/>
        <n v="1.08727568617501"/>
        <n v="1.14331453386205"/>
        <n v="1.13567655498894"/>
        <n v="1.00683005874013"/>
        <n v="1.06352860627327"/>
        <n v="0.987468711510191"/>
        <n v="1.03728683399972"/>
        <n v="1.00039446461491"/>
        <n v="0.971564140757166"/>
        <n v="0.985034850348504"/>
        <n v="0.995146804001298"/>
        <n v="0.817654299279058"/>
        <n v="0.981801092479329"/>
        <n v="0.814733593701428"/>
        <n v="0.779387195665926"/>
        <n v="0.84665625110127"/>
        <n v="0.820068495488628"/>
        <n v="0.825643933536093"/>
        <n v="0.96173091549577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x v="0"/>
    <x v="0"/>
    <x v="0"/>
    <x v="0"/>
    <x v="0"/>
    <x v="0"/>
    <x v="0"/>
    <x v="0"/>
    <x v="0"/>
    <x v="0"/>
  </r>
  <r>
    <x v="0"/>
    <x v="0"/>
    <x v="0"/>
    <x v="0"/>
    <x v="1"/>
    <x v="1"/>
    <x v="1"/>
    <x v="1"/>
    <x v="1"/>
    <x v="1"/>
  </r>
  <r>
    <x v="0"/>
    <x v="0"/>
    <x v="0"/>
    <x v="0"/>
    <x v="2"/>
    <x v="2"/>
    <x v="2"/>
    <x v="2"/>
    <x v="2"/>
    <x v="2"/>
  </r>
  <r>
    <x v="0"/>
    <x v="0"/>
    <x v="0"/>
    <x v="0"/>
    <x v="3"/>
    <x v="3"/>
    <x v="3"/>
    <x v="3"/>
    <x v="3"/>
    <x v="3"/>
  </r>
  <r>
    <x v="0"/>
    <x v="0"/>
    <x v="0"/>
    <x v="0"/>
    <x v="4"/>
    <x v="4"/>
    <x v="4"/>
    <x v="4"/>
    <x v="4"/>
    <x v="4"/>
  </r>
  <r>
    <x v="0"/>
    <x v="0"/>
    <x v="0"/>
    <x v="0"/>
    <x v="5"/>
    <x v="5"/>
    <x v="5"/>
    <x v="5"/>
    <x v="5"/>
    <x v="5"/>
  </r>
  <r>
    <x v="0"/>
    <x v="0"/>
    <x v="0"/>
    <x v="0"/>
    <x v="6"/>
    <x v="6"/>
    <x v="6"/>
    <x v="6"/>
    <x v="6"/>
    <x v="6"/>
  </r>
  <r>
    <x v="0"/>
    <x v="0"/>
    <x v="0"/>
    <x v="0"/>
    <x v="7"/>
    <x v="7"/>
    <x v="7"/>
    <x v="7"/>
    <x v="7"/>
    <x v="7"/>
  </r>
  <r>
    <x v="0"/>
    <x v="0"/>
    <x v="0"/>
    <x v="0"/>
    <x v="8"/>
    <x v="8"/>
    <x v="8"/>
    <x v="8"/>
    <x v="8"/>
    <x v="8"/>
  </r>
  <r>
    <x v="0"/>
    <x v="0"/>
    <x v="0"/>
    <x v="0"/>
    <x v="9"/>
    <x v="9"/>
    <x v="9"/>
    <x v="9"/>
    <x v="9"/>
    <x v="9"/>
  </r>
  <r>
    <x v="0"/>
    <x v="0"/>
    <x v="0"/>
    <x v="0"/>
    <x v="10"/>
    <x v="10"/>
    <x v="10"/>
    <x v="10"/>
    <x v="10"/>
    <x v="10"/>
  </r>
  <r>
    <x v="0"/>
    <x v="0"/>
    <x v="0"/>
    <x v="0"/>
    <x v="11"/>
    <x v="11"/>
    <x v="11"/>
    <x v="11"/>
    <x v="11"/>
    <x v="11"/>
  </r>
  <r>
    <x v="0"/>
    <x v="0"/>
    <x v="0"/>
    <x v="1"/>
    <x v="0"/>
    <x v="12"/>
    <x v="0"/>
    <x v="12"/>
    <x v="0"/>
    <x v="0"/>
  </r>
  <r>
    <x v="0"/>
    <x v="0"/>
    <x v="0"/>
    <x v="1"/>
    <x v="1"/>
    <x v="13"/>
    <x v="1"/>
    <x v="13"/>
    <x v="1"/>
    <x v="12"/>
  </r>
  <r>
    <x v="0"/>
    <x v="0"/>
    <x v="0"/>
    <x v="1"/>
    <x v="2"/>
    <x v="14"/>
    <x v="2"/>
    <x v="14"/>
    <x v="2"/>
    <x v="13"/>
  </r>
  <r>
    <x v="0"/>
    <x v="0"/>
    <x v="0"/>
    <x v="1"/>
    <x v="3"/>
    <x v="15"/>
    <x v="3"/>
    <x v="15"/>
    <x v="3"/>
    <x v="14"/>
  </r>
  <r>
    <x v="0"/>
    <x v="0"/>
    <x v="0"/>
    <x v="1"/>
    <x v="4"/>
    <x v="16"/>
    <x v="4"/>
    <x v="16"/>
    <x v="4"/>
    <x v="15"/>
  </r>
  <r>
    <x v="0"/>
    <x v="0"/>
    <x v="0"/>
    <x v="1"/>
    <x v="5"/>
    <x v="17"/>
    <x v="5"/>
    <x v="17"/>
    <x v="5"/>
    <x v="16"/>
  </r>
  <r>
    <x v="0"/>
    <x v="0"/>
    <x v="0"/>
    <x v="1"/>
    <x v="6"/>
    <x v="18"/>
    <x v="6"/>
    <x v="18"/>
    <x v="6"/>
    <x v="17"/>
  </r>
  <r>
    <x v="0"/>
    <x v="0"/>
    <x v="0"/>
    <x v="1"/>
    <x v="7"/>
    <x v="19"/>
    <x v="7"/>
    <x v="19"/>
    <x v="7"/>
    <x v="18"/>
  </r>
  <r>
    <x v="0"/>
    <x v="0"/>
    <x v="0"/>
    <x v="1"/>
    <x v="8"/>
    <x v="20"/>
    <x v="8"/>
    <x v="20"/>
    <x v="8"/>
    <x v="19"/>
  </r>
  <r>
    <x v="0"/>
    <x v="0"/>
    <x v="0"/>
    <x v="1"/>
    <x v="9"/>
    <x v="21"/>
    <x v="9"/>
    <x v="21"/>
    <x v="9"/>
    <x v="20"/>
  </r>
  <r>
    <x v="0"/>
    <x v="0"/>
    <x v="0"/>
    <x v="1"/>
    <x v="10"/>
    <x v="22"/>
    <x v="10"/>
    <x v="22"/>
    <x v="10"/>
    <x v="21"/>
  </r>
  <r>
    <x v="0"/>
    <x v="0"/>
    <x v="0"/>
    <x v="1"/>
    <x v="11"/>
    <x v="23"/>
    <x v="11"/>
    <x v="23"/>
    <x v="11"/>
    <x v="22"/>
  </r>
  <r>
    <x v="0"/>
    <x v="1"/>
    <x v="1"/>
    <x v="0"/>
    <x v="0"/>
    <x v="24"/>
    <x v="0"/>
    <x v="24"/>
    <x v="0"/>
    <x v="0"/>
  </r>
  <r>
    <x v="0"/>
    <x v="1"/>
    <x v="1"/>
    <x v="0"/>
    <x v="1"/>
    <x v="25"/>
    <x v="1"/>
    <x v="25"/>
    <x v="1"/>
    <x v="23"/>
  </r>
  <r>
    <x v="0"/>
    <x v="1"/>
    <x v="1"/>
    <x v="0"/>
    <x v="2"/>
    <x v="26"/>
    <x v="2"/>
    <x v="26"/>
    <x v="2"/>
    <x v="24"/>
  </r>
  <r>
    <x v="0"/>
    <x v="1"/>
    <x v="1"/>
    <x v="0"/>
    <x v="3"/>
    <x v="27"/>
    <x v="3"/>
    <x v="27"/>
    <x v="3"/>
    <x v="25"/>
  </r>
  <r>
    <x v="0"/>
    <x v="1"/>
    <x v="1"/>
    <x v="0"/>
    <x v="4"/>
    <x v="28"/>
    <x v="4"/>
    <x v="28"/>
    <x v="4"/>
    <x v="26"/>
  </r>
  <r>
    <x v="0"/>
    <x v="1"/>
    <x v="1"/>
    <x v="0"/>
    <x v="5"/>
    <x v="29"/>
    <x v="5"/>
    <x v="29"/>
    <x v="5"/>
    <x v="27"/>
  </r>
  <r>
    <x v="0"/>
    <x v="1"/>
    <x v="1"/>
    <x v="0"/>
    <x v="6"/>
    <x v="30"/>
    <x v="6"/>
    <x v="30"/>
    <x v="6"/>
    <x v="28"/>
  </r>
  <r>
    <x v="0"/>
    <x v="1"/>
    <x v="1"/>
    <x v="0"/>
    <x v="7"/>
    <x v="31"/>
    <x v="7"/>
    <x v="31"/>
    <x v="7"/>
    <x v="29"/>
  </r>
  <r>
    <x v="0"/>
    <x v="1"/>
    <x v="1"/>
    <x v="0"/>
    <x v="8"/>
    <x v="32"/>
    <x v="8"/>
    <x v="32"/>
    <x v="8"/>
    <x v="30"/>
  </r>
  <r>
    <x v="0"/>
    <x v="1"/>
    <x v="1"/>
    <x v="0"/>
    <x v="9"/>
    <x v="33"/>
    <x v="9"/>
    <x v="33"/>
    <x v="9"/>
    <x v="31"/>
  </r>
  <r>
    <x v="0"/>
    <x v="1"/>
    <x v="1"/>
    <x v="0"/>
    <x v="10"/>
    <x v="34"/>
    <x v="10"/>
    <x v="34"/>
    <x v="10"/>
    <x v="32"/>
  </r>
  <r>
    <x v="0"/>
    <x v="1"/>
    <x v="1"/>
    <x v="0"/>
    <x v="11"/>
    <x v="35"/>
    <x v="11"/>
    <x v="35"/>
    <x v="11"/>
    <x v="33"/>
  </r>
  <r>
    <x v="0"/>
    <x v="1"/>
    <x v="1"/>
    <x v="1"/>
    <x v="0"/>
    <x v="36"/>
    <x v="0"/>
    <x v="36"/>
    <x v="0"/>
    <x v="0"/>
  </r>
  <r>
    <x v="0"/>
    <x v="1"/>
    <x v="1"/>
    <x v="1"/>
    <x v="1"/>
    <x v="37"/>
    <x v="1"/>
    <x v="37"/>
    <x v="1"/>
    <x v="34"/>
  </r>
  <r>
    <x v="0"/>
    <x v="1"/>
    <x v="1"/>
    <x v="1"/>
    <x v="2"/>
    <x v="38"/>
    <x v="2"/>
    <x v="38"/>
    <x v="2"/>
    <x v="35"/>
  </r>
  <r>
    <x v="0"/>
    <x v="1"/>
    <x v="1"/>
    <x v="1"/>
    <x v="3"/>
    <x v="39"/>
    <x v="3"/>
    <x v="39"/>
    <x v="3"/>
    <x v="36"/>
  </r>
  <r>
    <x v="0"/>
    <x v="1"/>
    <x v="1"/>
    <x v="1"/>
    <x v="4"/>
    <x v="40"/>
    <x v="4"/>
    <x v="40"/>
    <x v="4"/>
    <x v="37"/>
  </r>
  <r>
    <x v="0"/>
    <x v="1"/>
    <x v="1"/>
    <x v="1"/>
    <x v="5"/>
    <x v="41"/>
    <x v="5"/>
    <x v="41"/>
    <x v="5"/>
    <x v="38"/>
  </r>
  <r>
    <x v="0"/>
    <x v="1"/>
    <x v="1"/>
    <x v="1"/>
    <x v="6"/>
    <x v="42"/>
    <x v="6"/>
    <x v="42"/>
    <x v="6"/>
    <x v="39"/>
  </r>
  <r>
    <x v="0"/>
    <x v="1"/>
    <x v="1"/>
    <x v="1"/>
    <x v="7"/>
    <x v="43"/>
    <x v="7"/>
    <x v="43"/>
    <x v="7"/>
    <x v="40"/>
  </r>
  <r>
    <x v="0"/>
    <x v="1"/>
    <x v="1"/>
    <x v="1"/>
    <x v="8"/>
    <x v="44"/>
    <x v="8"/>
    <x v="44"/>
    <x v="8"/>
    <x v="41"/>
  </r>
  <r>
    <x v="0"/>
    <x v="1"/>
    <x v="1"/>
    <x v="1"/>
    <x v="9"/>
    <x v="45"/>
    <x v="9"/>
    <x v="45"/>
    <x v="9"/>
    <x v="42"/>
  </r>
  <r>
    <x v="0"/>
    <x v="1"/>
    <x v="1"/>
    <x v="1"/>
    <x v="10"/>
    <x v="46"/>
    <x v="10"/>
    <x v="46"/>
    <x v="10"/>
    <x v="43"/>
  </r>
  <r>
    <x v="0"/>
    <x v="1"/>
    <x v="1"/>
    <x v="1"/>
    <x v="11"/>
    <x v="47"/>
    <x v="11"/>
    <x v="47"/>
    <x v="11"/>
    <x v="44"/>
  </r>
  <r>
    <x v="0"/>
    <x v="2"/>
    <x v="2"/>
    <x v="0"/>
    <x v="0"/>
    <x v="48"/>
    <x v="0"/>
    <x v="48"/>
    <x v="0"/>
    <x v="0"/>
  </r>
  <r>
    <x v="0"/>
    <x v="2"/>
    <x v="2"/>
    <x v="0"/>
    <x v="1"/>
    <x v="49"/>
    <x v="1"/>
    <x v="49"/>
    <x v="1"/>
    <x v="45"/>
  </r>
  <r>
    <x v="0"/>
    <x v="2"/>
    <x v="2"/>
    <x v="0"/>
    <x v="2"/>
    <x v="50"/>
    <x v="2"/>
    <x v="50"/>
    <x v="2"/>
    <x v="46"/>
  </r>
  <r>
    <x v="0"/>
    <x v="2"/>
    <x v="2"/>
    <x v="0"/>
    <x v="3"/>
    <x v="51"/>
    <x v="3"/>
    <x v="51"/>
    <x v="3"/>
    <x v="47"/>
  </r>
  <r>
    <x v="0"/>
    <x v="2"/>
    <x v="2"/>
    <x v="0"/>
    <x v="4"/>
    <x v="52"/>
    <x v="4"/>
    <x v="52"/>
    <x v="4"/>
    <x v="48"/>
  </r>
  <r>
    <x v="0"/>
    <x v="2"/>
    <x v="2"/>
    <x v="0"/>
    <x v="5"/>
    <x v="53"/>
    <x v="5"/>
    <x v="53"/>
    <x v="5"/>
    <x v="49"/>
  </r>
  <r>
    <x v="0"/>
    <x v="2"/>
    <x v="2"/>
    <x v="0"/>
    <x v="6"/>
    <x v="54"/>
    <x v="6"/>
    <x v="54"/>
    <x v="6"/>
    <x v="50"/>
  </r>
  <r>
    <x v="0"/>
    <x v="2"/>
    <x v="2"/>
    <x v="0"/>
    <x v="7"/>
    <x v="55"/>
    <x v="7"/>
    <x v="55"/>
    <x v="7"/>
    <x v="51"/>
  </r>
  <r>
    <x v="0"/>
    <x v="2"/>
    <x v="2"/>
    <x v="0"/>
    <x v="8"/>
    <x v="56"/>
    <x v="8"/>
    <x v="56"/>
    <x v="8"/>
    <x v="52"/>
  </r>
  <r>
    <x v="0"/>
    <x v="2"/>
    <x v="2"/>
    <x v="0"/>
    <x v="9"/>
    <x v="57"/>
    <x v="9"/>
    <x v="57"/>
    <x v="9"/>
    <x v="53"/>
  </r>
  <r>
    <x v="0"/>
    <x v="2"/>
    <x v="2"/>
    <x v="0"/>
    <x v="10"/>
    <x v="58"/>
    <x v="10"/>
    <x v="58"/>
    <x v="10"/>
    <x v="54"/>
  </r>
  <r>
    <x v="0"/>
    <x v="2"/>
    <x v="2"/>
    <x v="0"/>
    <x v="11"/>
    <x v="59"/>
    <x v="11"/>
    <x v="59"/>
    <x v="11"/>
    <x v="55"/>
  </r>
  <r>
    <x v="0"/>
    <x v="2"/>
    <x v="2"/>
    <x v="1"/>
    <x v="0"/>
    <x v="60"/>
    <x v="0"/>
    <x v="60"/>
    <x v="0"/>
    <x v="0"/>
  </r>
  <r>
    <x v="0"/>
    <x v="2"/>
    <x v="2"/>
    <x v="1"/>
    <x v="1"/>
    <x v="61"/>
    <x v="1"/>
    <x v="61"/>
    <x v="1"/>
    <x v="56"/>
  </r>
  <r>
    <x v="0"/>
    <x v="2"/>
    <x v="2"/>
    <x v="1"/>
    <x v="2"/>
    <x v="62"/>
    <x v="2"/>
    <x v="62"/>
    <x v="2"/>
    <x v="57"/>
  </r>
  <r>
    <x v="0"/>
    <x v="2"/>
    <x v="2"/>
    <x v="1"/>
    <x v="3"/>
    <x v="63"/>
    <x v="3"/>
    <x v="63"/>
    <x v="3"/>
    <x v="58"/>
  </r>
  <r>
    <x v="0"/>
    <x v="2"/>
    <x v="2"/>
    <x v="1"/>
    <x v="4"/>
    <x v="64"/>
    <x v="4"/>
    <x v="64"/>
    <x v="4"/>
    <x v="59"/>
  </r>
  <r>
    <x v="0"/>
    <x v="2"/>
    <x v="2"/>
    <x v="1"/>
    <x v="5"/>
    <x v="65"/>
    <x v="5"/>
    <x v="65"/>
    <x v="5"/>
    <x v="60"/>
  </r>
  <r>
    <x v="0"/>
    <x v="2"/>
    <x v="2"/>
    <x v="1"/>
    <x v="6"/>
    <x v="66"/>
    <x v="6"/>
    <x v="66"/>
    <x v="6"/>
    <x v="61"/>
  </r>
  <r>
    <x v="0"/>
    <x v="2"/>
    <x v="2"/>
    <x v="1"/>
    <x v="7"/>
    <x v="67"/>
    <x v="7"/>
    <x v="67"/>
    <x v="7"/>
    <x v="62"/>
  </r>
  <r>
    <x v="0"/>
    <x v="2"/>
    <x v="2"/>
    <x v="1"/>
    <x v="8"/>
    <x v="68"/>
    <x v="8"/>
    <x v="68"/>
    <x v="8"/>
    <x v="63"/>
  </r>
  <r>
    <x v="0"/>
    <x v="2"/>
    <x v="2"/>
    <x v="1"/>
    <x v="9"/>
    <x v="69"/>
    <x v="9"/>
    <x v="69"/>
    <x v="9"/>
    <x v="64"/>
  </r>
  <r>
    <x v="0"/>
    <x v="2"/>
    <x v="2"/>
    <x v="1"/>
    <x v="10"/>
    <x v="70"/>
    <x v="10"/>
    <x v="70"/>
    <x v="10"/>
    <x v="65"/>
  </r>
  <r>
    <x v="0"/>
    <x v="2"/>
    <x v="2"/>
    <x v="1"/>
    <x v="11"/>
    <x v="71"/>
    <x v="11"/>
    <x v="71"/>
    <x v="11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D18" firstHeaderRow="1" firstDataRow="2" firstDataCol="1" rowPageCount="1" colPageCount="1"/>
  <pivotFields count="10">
    <pivotField compact="0" showAll="0">
      <items count="2">
        <item x="0"/>
        <item t="default"/>
      </items>
    </pivotField>
    <pivotField compact="0" showAll="0"/>
    <pivotField axis="axisPage" compact="0" showAll="0">
      <items count="4">
        <item x="0"/>
        <item x="1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68">
        <item x="19"/>
        <item x="21"/>
        <item x="62"/>
        <item x="17"/>
        <item x="20"/>
        <item x="22"/>
        <item x="12"/>
        <item x="61"/>
        <item x="59"/>
        <item x="64"/>
        <item x="65"/>
        <item x="63"/>
        <item x="10"/>
        <item x="8"/>
        <item x="13"/>
        <item x="16"/>
        <item x="18"/>
        <item x="15"/>
        <item x="14"/>
        <item x="33"/>
        <item x="66"/>
        <item x="56"/>
        <item x="31"/>
        <item x="11"/>
        <item x="60"/>
        <item x="35"/>
        <item x="9"/>
        <item x="57"/>
        <item x="53"/>
        <item x="42"/>
        <item x="58"/>
        <item x="0"/>
        <item x="55"/>
        <item x="51"/>
        <item x="24"/>
        <item x="43"/>
        <item x="40"/>
        <item x="1"/>
        <item x="54"/>
        <item x="3"/>
        <item x="34"/>
        <item x="30"/>
        <item x="39"/>
        <item x="2"/>
        <item x="37"/>
        <item x="52"/>
        <item x="36"/>
        <item x="45"/>
        <item x="41"/>
        <item x="46"/>
        <item x="6"/>
        <item x="32"/>
        <item x="47"/>
        <item x="44"/>
        <item x="23"/>
        <item x="48"/>
        <item x="5"/>
        <item x="38"/>
        <item x="25"/>
        <item x="4"/>
        <item x="7"/>
        <item x="26"/>
        <item x="28"/>
        <item x="50"/>
        <item x="27"/>
        <item x="49"/>
        <item x="29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item="0"/>
  </pageFields>
  <dataFields count="1">
    <dataField name="Sum of SpeedUp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73" totalsRowShown="0">
  <autoFilter ref="A1:J73"/>
  <tableColumns count="10">
    <tableColumn id="1" name="NumElementsPerDir"/>
    <tableColumn id="2" name="PolyOrder"/>
    <tableColumn id="3" name="NumEquations"/>
    <tableColumn id="4" name="Solver"/>
    <tableColumn id="5" name="NumSolverThreads"/>
    <tableColumn id="6" name="AssemblyTime_s"/>
    <tableColumn id="7" name="RealUsedThreadsAssembly"/>
    <tableColumn id="8" name="SolveTime_s"/>
    <tableColumn id="9" name="RealUsedThreadsSolve"/>
    <tableColumn id="10" name="Speed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8"/>
  <sheetViews>
    <sheetView workbookViewId="0">
      <selection activeCell="D32" sqref="D32"/>
    </sheetView>
  </sheetViews>
  <sheetFormatPr defaultColWidth="8.8" defaultRowHeight="15" outlineLevelCol="3"/>
  <cols>
    <col min="1" max="1" width="23.6"/>
    <col min="2" max="4" width="12.5"/>
    <col min="5" max="5" width="17.2"/>
    <col min="6" max="6" width="21.8"/>
    <col min="7" max="7" width="19.1"/>
    <col min="8" max="24" width="12.5"/>
    <col min="25" max="25" width="10.3"/>
    <col min="26" max="69" width="12.5"/>
  </cols>
  <sheetData>
    <row r="2" spans="1:2">
      <c r="A2" t="s">
        <v>0</v>
      </c>
      <c r="B2" s="1">
        <v>22801</v>
      </c>
    </row>
    <row r="4" spans="1:2">
      <c r="A4" t="s">
        <v>1</v>
      </c>
      <c r="B4" t="s">
        <v>2</v>
      </c>
    </row>
    <row r="5" spans="1:4">
      <c r="A5" t="s">
        <v>3</v>
      </c>
      <c r="B5" t="s">
        <v>4</v>
      </c>
      <c r="C5" t="s">
        <v>5</v>
      </c>
      <c r="D5" t="s">
        <v>6</v>
      </c>
    </row>
    <row r="6" spans="1:4">
      <c r="A6">
        <v>1</v>
      </c>
      <c r="B6">
        <v>1</v>
      </c>
      <c r="C6">
        <v>1</v>
      </c>
      <c r="D6">
        <v>2</v>
      </c>
    </row>
    <row r="7" spans="1:4">
      <c r="A7">
        <v>2</v>
      </c>
      <c r="B7">
        <v>0.808694426388704</v>
      </c>
      <c r="C7">
        <v>1.03548972815359</v>
      </c>
      <c r="D7">
        <v>1.84418415454229</v>
      </c>
    </row>
    <row r="8" spans="1:4">
      <c r="A8">
        <v>3</v>
      </c>
      <c r="B8">
        <v>0.928165026290953</v>
      </c>
      <c r="C8">
        <v>1.05400373495862</v>
      </c>
      <c r="D8">
        <v>1.98216876124957</v>
      </c>
    </row>
    <row r="9" spans="1:4">
      <c r="A9">
        <v>4</v>
      </c>
      <c r="B9">
        <v>0.952909584186922</v>
      </c>
      <c r="C9">
        <v>1.03750307118447</v>
      </c>
      <c r="D9">
        <v>1.99041265537139</v>
      </c>
    </row>
    <row r="10" spans="1:4">
      <c r="A10">
        <v>5</v>
      </c>
      <c r="B10">
        <v>0.95068127416682</v>
      </c>
      <c r="C10">
        <v>1.11165876300873</v>
      </c>
      <c r="D10">
        <v>2.06234003717555</v>
      </c>
    </row>
    <row r="11" spans="1:4">
      <c r="A11">
        <v>6</v>
      </c>
      <c r="B11">
        <v>0.935615979124573</v>
      </c>
      <c r="C11">
        <v>1.09085817215109</v>
      </c>
      <c r="D11">
        <v>2.02647415127566</v>
      </c>
    </row>
    <row r="12" spans="1:4">
      <c r="A12">
        <v>7</v>
      </c>
      <c r="B12">
        <v>0.790173242324998</v>
      </c>
      <c r="C12">
        <v>1.07211185034304</v>
      </c>
      <c r="D12">
        <v>1.86228509266804</v>
      </c>
    </row>
    <row r="13" spans="1:4">
      <c r="A13">
        <v>8</v>
      </c>
      <c r="B13">
        <v>0.945320224101944</v>
      </c>
      <c r="C13">
        <v>1.1195453855257</v>
      </c>
      <c r="D13">
        <v>2.06486560962764</v>
      </c>
    </row>
    <row r="14" spans="1:4">
      <c r="A14">
        <v>9</v>
      </c>
      <c r="B14">
        <v>0.773656292611295</v>
      </c>
      <c r="C14">
        <v>0.926739754997805</v>
      </c>
      <c r="D14">
        <v>1.7003960476091</v>
      </c>
    </row>
    <row r="15" spans="1:4">
      <c r="A15">
        <v>10</v>
      </c>
      <c r="B15">
        <v>0.791469303288112</v>
      </c>
      <c r="C15">
        <v>0.982891984625004</v>
      </c>
      <c r="D15">
        <v>1.77436128791312</v>
      </c>
    </row>
    <row r="16" spans="1:4">
      <c r="A16">
        <v>11</v>
      </c>
      <c r="B16">
        <v>0.778837886353009</v>
      </c>
      <c r="C16">
        <v>0.899462646682933</v>
      </c>
      <c r="D16">
        <v>1.67830053303594</v>
      </c>
    </row>
    <row r="17" spans="1:4">
      <c r="A17">
        <v>12</v>
      </c>
      <c r="B17">
        <v>0.791882026349289</v>
      </c>
      <c r="C17">
        <v>0.977827856169993</v>
      </c>
      <c r="D17">
        <v>1.76970988251928</v>
      </c>
    </row>
    <row r="18" spans="1:4">
      <c r="A18" t="s">
        <v>6</v>
      </c>
      <c r="B18">
        <v>10.4474052651866</v>
      </c>
      <c r="C18">
        <v>12.308092947801</v>
      </c>
      <c r="D18">
        <v>22.7554982129876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zoomScaleSheetLayoutView="60" workbookViewId="0">
      <selection activeCell="H14" sqref="H14:H25"/>
    </sheetView>
  </sheetViews>
  <sheetFormatPr defaultColWidth="7.2" defaultRowHeight="15"/>
  <cols>
    <col min="1" max="1" width="19.1" customWidth="1"/>
    <col min="2" max="2" width="9.7" customWidth="1"/>
    <col min="3" max="3" width="14.1" customWidth="1"/>
    <col min="4" max="4" width="6.9" customWidth="1"/>
    <col min="5" max="5" width="18.1" customWidth="1"/>
    <col min="6" max="6" width="15.8" customWidth="1"/>
    <col min="7" max="7" width="25.5" customWidth="1"/>
    <col min="8" max="8" width="11.9" customWidth="1"/>
    <col min="9" max="9" width="21.6" customWidth="1"/>
    <col min="10" max="10" width="8.9" customWidth="1"/>
  </cols>
  <sheetData>
    <row r="1" spans="1:10">
      <c r="A1" t="s">
        <v>7</v>
      </c>
      <c r="B1" t="s">
        <v>8</v>
      </c>
      <c r="C1" t="s">
        <v>0</v>
      </c>
      <c r="D1" t="s">
        <v>2</v>
      </c>
      <c r="E1" t="s">
        <v>9</v>
      </c>
      <c r="F1" t="s">
        <v>10</v>
      </c>
      <c r="G1" t="s">
        <v>11</v>
      </c>
      <c r="H1" t="s">
        <v>12</v>
      </c>
      <c r="I1" t="s">
        <v>3</v>
      </c>
      <c r="J1" t="s">
        <v>13</v>
      </c>
    </row>
    <row r="2" spans="1:10">
      <c r="A2">
        <v>150</v>
      </c>
      <c r="B2">
        <v>1</v>
      </c>
      <c r="C2">
        <v>22801</v>
      </c>
      <c r="D2" t="s">
        <v>5</v>
      </c>
      <c r="E2">
        <v>1</v>
      </c>
      <c r="F2">
        <v>1.4206</v>
      </c>
      <c r="G2">
        <v>1</v>
      </c>
      <c r="H2">
        <v>0.0929001</v>
      </c>
      <c r="I2">
        <v>1</v>
      </c>
      <c r="J2">
        <f>$H$2/H2</f>
        <v>1</v>
      </c>
    </row>
    <row r="3" spans="1:10">
      <c r="A3">
        <v>150</v>
      </c>
      <c r="B3">
        <v>1</v>
      </c>
      <c r="C3">
        <v>22801</v>
      </c>
      <c r="D3" t="s">
        <v>5</v>
      </c>
      <c r="E3">
        <v>2</v>
      </c>
      <c r="F3">
        <v>1.41387</v>
      </c>
      <c r="G3">
        <v>2</v>
      </c>
      <c r="H3">
        <v>0.0897161</v>
      </c>
      <c r="I3">
        <v>2</v>
      </c>
      <c r="J3">
        <f t="shared" ref="J3:J14" si="0">$H$2/H3</f>
        <v>1.03548972815359</v>
      </c>
    </row>
    <row r="4" spans="1:10">
      <c r="A4">
        <v>150</v>
      </c>
      <c r="B4">
        <v>1</v>
      </c>
      <c r="C4">
        <v>22801</v>
      </c>
      <c r="D4" t="s">
        <v>5</v>
      </c>
      <c r="E4">
        <v>3</v>
      </c>
      <c r="F4">
        <v>1.39089</v>
      </c>
      <c r="G4">
        <v>3</v>
      </c>
      <c r="H4">
        <v>0.0881402</v>
      </c>
      <c r="I4">
        <v>3</v>
      </c>
      <c r="J4">
        <f t="shared" si="0"/>
        <v>1.05400373495862</v>
      </c>
    </row>
    <row r="5" spans="1:10">
      <c r="A5">
        <v>150</v>
      </c>
      <c r="B5">
        <v>1</v>
      </c>
      <c r="C5">
        <v>22801</v>
      </c>
      <c r="D5" t="s">
        <v>5</v>
      </c>
      <c r="E5">
        <v>4</v>
      </c>
      <c r="F5">
        <v>1.38018</v>
      </c>
      <c r="G5">
        <v>4</v>
      </c>
      <c r="H5">
        <v>0.089542</v>
      </c>
      <c r="I5">
        <v>4</v>
      </c>
      <c r="J5">
        <f t="shared" si="0"/>
        <v>1.03750307118447</v>
      </c>
    </row>
    <row r="6" spans="1:10">
      <c r="A6">
        <v>150</v>
      </c>
      <c r="B6">
        <v>1</v>
      </c>
      <c r="C6">
        <v>22801</v>
      </c>
      <c r="D6" t="s">
        <v>5</v>
      </c>
      <c r="E6">
        <v>5</v>
      </c>
      <c r="F6">
        <v>1.37526</v>
      </c>
      <c r="G6">
        <v>5</v>
      </c>
      <c r="H6">
        <v>0.0835689</v>
      </c>
      <c r="I6">
        <v>5</v>
      </c>
      <c r="J6">
        <f t="shared" si="0"/>
        <v>1.11165876300873</v>
      </c>
    </row>
    <row r="7" spans="1:10">
      <c r="A7">
        <v>150</v>
      </c>
      <c r="B7">
        <v>1</v>
      </c>
      <c r="C7">
        <v>22801</v>
      </c>
      <c r="D7" t="s">
        <v>5</v>
      </c>
      <c r="E7">
        <v>6</v>
      </c>
      <c r="F7">
        <v>1.36602</v>
      </c>
      <c r="G7">
        <v>6</v>
      </c>
      <c r="H7">
        <v>0.0851624</v>
      </c>
      <c r="I7">
        <v>6</v>
      </c>
      <c r="J7">
        <f t="shared" si="0"/>
        <v>1.09085817215109</v>
      </c>
    </row>
    <row r="8" spans="1:10">
      <c r="A8">
        <v>150</v>
      </c>
      <c r="B8">
        <v>1</v>
      </c>
      <c r="C8">
        <v>22801</v>
      </c>
      <c r="D8" t="s">
        <v>5</v>
      </c>
      <c r="E8">
        <v>7</v>
      </c>
      <c r="F8">
        <v>1.39627</v>
      </c>
      <c r="G8">
        <v>7</v>
      </c>
      <c r="H8">
        <v>0.0866515</v>
      </c>
      <c r="I8">
        <v>7</v>
      </c>
      <c r="J8">
        <f t="shared" si="0"/>
        <v>1.07211185034304</v>
      </c>
    </row>
    <row r="9" spans="1:10">
      <c r="A9">
        <v>150</v>
      </c>
      <c r="B9">
        <v>1</v>
      </c>
      <c r="C9">
        <v>22801</v>
      </c>
      <c r="D9" t="s">
        <v>5</v>
      </c>
      <c r="E9">
        <v>8</v>
      </c>
      <c r="F9">
        <v>1.41253</v>
      </c>
      <c r="G9">
        <v>8</v>
      </c>
      <c r="H9">
        <v>0.0829802</v>
      </c>
      <c r="I9">
        <v>8</v>
      </c>
      <c r="J9">
        <f t="shared" si="0"/>
        <v>1.1195453855257</v>
      </c>
    </row>
    <row r="10" spans="1:10">
      <c r="A10">
        <v>150</v>
      </c>
      <c r="B10">
        <v>1</v>
      </c>
      <c r="C10">
        <v>22801</v>
      </c>
      <c r="D10" t="s">
        <v>5</v>
      </c>
      <c r="E10">
        <v>9</v>
      </c>
      <c r="F10">
        <v>1.412</v>
      </c>
      <c r="G10">
        <v>9</v>
      </c>
      <c r="H10">
        <v>0.100244</v>
      </c>
      <c r="I10">
        <v>9</v>
      </c>
      <c r="J10">
        <f t="shared" si="0"/>
        <v>0.926739754997805</v>
      </c>
    </row>
    <row r="11" spans="1:10">
      <c r="A11">
        <v>150</v>
      </c>
      <c r="B11">
        <v>1</v>
      </c>
      <c r="C11">
        <v>22801</v>
      </c>
      <c r="D11" t="s">
        <v>5</v>
      </c>
      <c r="E11">
        <v>10</v>
      </c>
      <c r="F11">
        <v>1.38561</v>
      </c>
      <c r="G11">
        <v>10</v>
      </c>
      <c r="H11">
        <v>0.0945171</v>
      </c>
      <c r="I11">
        <v>10</v>
      </c>
      <c r="J11">
        <f t="shared" si="0"/>
        <v>0.982891984625004</v>
      </c>
    </row>
    <row r="12" spans="1:10">
      <c r="A12">
        <v>150</v>
      </c>
      <c r="B12">
        <v>1</v>
      </c>
      <c r="C12">
        <v>22801</v>
      </c>
      <c r="D12" t="s">
        <v>5</v>
      </c>
      <c r="E12">
        <v>11</v>
      </c>
      <c r="F12">
        <v>1.36951</v>
      </c>
      <c r="G12">
        <v>11</v>
      </c>
      <c r="H12">
        <v>0.103284</v>
      </c>
      <c r="I12">
        <v>11</v>
      </c>
      <c r="J12">
        <f t="shared" si="0"/>
        <v>0.899462646682933</v>
      </c>
    </row>
    <row r="13" spans="1:10">
      <c r="A13">
        <v>150</v>
      </c>
      <c r="B13">
        <v>1</v>
      </c>
      <c r="C13">
        <v>22801</v>
      </c>
      <c r="D13" t="s">
        <v>5</v>
      </c>
      <c r="E13">
        <v>12</v>
      </c>
      <c r="F13">
        <v>1.39554</v>
      </c>
      <c r="G13">
        <v>12</v>
      </c>
      <c r="H13">
        <v>0.0950066</v>
      </c>
      <c r="I13">
        <v>12</v>
      </c>
      <c r="J13">
        <f t="shared" si="0"/>
        <v>0.977827856169992</v>
      </c>
    </row>
    <row r="14" spans="1:10">
      <c r="A14">
        <v>150</v>
      </c>
      <c r="B14">
        <v>1</v>
      </c>
      <c r="C14">
        <v>22801</v>
      </c>
      <c r="D14" t="s">
        <v>4</v>
      </c>
      <c r="E14">
        <v>1</v>
      </c>
      <c r="F14">
        <v>1.39336</v>
      </c>
      <c r="G14">
        <v>1</v>
      </c>
      <c r="H14">
        <v>0.103263</v>
      </c>
      <c r="I14">
        <v>1</v>
      </c>
      <c r="J14">
        <f>$H$14/H14</f>
        <v>1</v>
      </c>
    </row>
    <row r="15" spans="1:10">
      <c r="A15">
        <v>150</v>
      </c>
      <c r="B15">
        <v>1</v>
      </c>
      <c r="C15">
        <v>22801</v>
      </c>
      <c r="D15" t="s">
        <v>4</v>
      </c>
      <c r="E15">
        <v>2</v>
      </c>
      <c r="F15">
        <v>1.41498</v>
      </c>
      <c r="G15">
        <v>2</v>
      </c>
      <c r="H15">
        <v>0.127691</v>
      </c>
      <c r="I15">
        <v>2</v>
      </c>
      <c r="J15">
        <f t="shared" ref="J15:J26" si="1">$H$14/H15</f>
        <v>0.808694426388704</v>
      </c>
    </row>
    <row r="16" spans="1:10">
      <c r="A16">
        <v>150</v>
      </c>
      <c r="B16">
        <v>1</v>
      </c>
      <c r="C16">
        <v>22801</v>
      </c>
      <c r="D16" t="s">
        <v>4</v>
      </c>
      <c r="E16">
        <v>3</v>
      </c>
      <c r="F16">
        <v>1.39558</v>
      </c>
      <c r="G16">
        <v>3</v>
      </c>
      <c r="H16">
        <v>0.111255</v>
      </c>
      <c r="I16">
        <v>3</v>
      </c>
      <c r="J16">
        <f t="shared" si="1"/>
        <v>0.928165026290953</v>
      </c>
    </row>
    <row r="17" spans="1:10">
      <c r="A17">
        <v>150</v>
      </c>
      <c r="B17">
        <v>1</v>
      </c>
      <c r="C17">
        <v>22801</v>
      </c>
      <c r="D17" t="s">
        <v>4</v>
      </c>
      <c r="E17">
        <v>4</v>
      </c>
      <c r="F17">
        <v>1.40768</v>
      </c>
      <c r="G17">
        <v>4</v>
      </c>
      <c r="H17">
        <v>0.108366</v>
      </c>
      <c r="I17">
        <v>4</v>
      </c>
      <c r="J17">
        <f t="shared" si="1"/>
        <v>0.952909584186922</v>
      </c>
    </row>
    <row r="18" spans="1:10">
      <c r="A18">
        <v>150</v>
      </c>
      <c r="B18">
        <v>1</v>
      </c>
      <c r="C18">
        <v>22801</v>
      </c>
      <c r="D18" t="s">
        <v>4</v>
      </c>
      <c r="E18">
        <v>5</v>
      </c>
      <c r="F18">
        <v>1.39953</v>
      </c>
      <c r="G18">
        <v>5</v>
      </c>
      <c r="H18">
        <v>0.10862</v>
      </c>
      <c r="I18">
        <v>5</v>
      </c>
      <c r="J18">
        <f t="shared" si="1"/>
        <v>0.95068127416682</v>
      </c>
    </row>
    <row r="19" spans="1:10">
      <c r="A19">
        <v>150</v>
      </c>
      <c r="B19">
        <v>1</v>
      </c>
      <c r="C19">
        <v>22801</v>
      </c>
      <c r="D19" t="s">
        <v>4</v>
      </c>
      <c r="E19">
        <v>6</v>
      </c>
      <c r="F19">
        <v>1.40481</v>
      </c>
      <c r="G19">
        <v>6</v>
      </c>
      <c r="H19">
        <v>0.110369</v>
      </c>
      <c r="I19">
        <v>6</v>
      </c>
      <c r="J19">
        <f t="shared" si="1"/>
        <v>0.935615979124573</v>
      </c>
    </row>
    <row r="20" spans="1:10">
      <c r="A20">
        <v>150</v>
      </c>
      <c r="B20">
        <v>1</v>
      </c>
      <c r="C20">
        <v>22801</v>
      </c>
      <c r="D20" t="s">
        <v>4</v>
      </c>
      <c r="E20">
        <v>7</v>
      </c>
      <c r="F20">
        <v>1.40409</v>
      </c>
      <c r="G20">
        <v>7</v>
      </c>
      <c r="H20">
        <v>0.130684</v>
      </c>
      <c r="I20">
        <v>7</v>
      </c>
      <c r="J20">
        <f t="shared" si="1"/>
        <v>0.790173242324998</v>
      </c>
    </row>
    <row r="21" spans="1:10">
      <c r="A21">
        <v>150</v>
      </c>
      <c r="B21">
        <v>1</v>
      </c>
      <c r="C21">
        <v>22801</v>
      </c>
      <c r="D21" t="s">
        <v>4</v>
      </c>
      <c r="E21">
        <v>8</v>
      </c>
      <c r="F21">
        <v>1.41213</v>
      </c>
      <c r="G21">
        <v>8</v>
      </c>
      <c r="H21">
        <v>0.109236</v>
      </c>
      <c r="I21">
        <v>8</v>
      </c>
      <c r="J21">
        <f t="shared" si="1"/>
        <v>0.945320224101944</v>
      </c>
    </row>
    <row r="22" spans="1:10">
      <c r="A22">
        <v>150</v>
      </c>
      <c r="B22">
        <v>1</v>
      </c>
      <c r="C22">
        <v>22801</v>
      </c>
      <c r="D22" t="s">
        <v>4</v>
      </c>
      <c r="E22">
        <v>9</v>
      </c>
      <c r="F22">
        <v>1.39819</v>
      </c>
      <c r="G22">
        <v>9</v>
      </c>
      <c r="H22">
        <v>0.133474</v>
      </c>
      <c r="I22">
        <v>9</v>
      </c>
      <c r="J22">
        <f t="shared" si="1"/>
        <v>0.773656292611295</v>
      </c>
    </row>
    <row r="23" spans="1:10">
      <c r="A23">
        <v>150</v>
      </c>
      <c r="B23">
        <v>1</v>
      </c>
      <c r="C23">
        <v>22801</v>
      </c>
      <c r="D23" t="s">
        <v>4</v>
      </c>
      <c r="E23">
        <v>10</v>
      </c>
      <c r="F23">
        <v>1.42617</v>
      </c>
      <c r="G23">
        <v>10</v>
      </c>
      <c r="H23">
        <v>0.13047</v>
      </c>
      <c r="I23">
        <v>10</v>
      </c>
      <c r="J23">
        <f t="shared" si="1"/>
        <v>0.791469303288112</v>
      </c>
    </row>
    <row r="24" spans="1:10">
      <c r="A24">
        <v>150</v>
      </c>
      <c r="B24">
        <v>1</v>
      </c>
      <c r="C24">
        <v>22801</v>
      </c>
      <c r="D24" t="s">
        <v>4</v>
      </c>
      <c r="E24">
        <v>11</v>
      </c>
      <c r="F24">
        <v>1.4262</v>
      </c>
      <c r="G24">
        <v>11</v>
      </c>
      <c r="H24">
        <v>0.132586</v>
      </c>
      <c r="I24">
        <v>11</v>
      </c>
      <c r="J24">
        <f t="shared" si="1"/>
        <v>0.778837886353009</v>
      </c>
    </row>
    <row r="25" spans="1:10">
      <c r="A25">
        <v>150</v>
      </c>
      <c r="B25">
        <v>1</v>
      </c>
      <c r="C25">
        <v>22801</v>
      </c>
      <c r="D25" t="s">
        <v>4</v>
      </c>
      <c r="E25">
        <v>12</v>
      </c>
      <c r="F25">
        <v>1.40629</v>
      </c>
      <c r="G25">
        <v>12</v>
      </c>
      <c r="H25">
        <v>0.130402</v>
      </c>
      <c r="I25">
        <v>12</v>
      </c>
      <c r="J25">
        <f t="shared" si="1"/>
        <v>0.791882026349289</v>
      </c>
    </row>
    <row r="26" spans="1:10">
      <c r="A26">
        <v>150</v>
      </c>
      <c r="B26">
        <v>2</v>
      </c>
      <c r="C26">
        <v>90601</v>
      </c>
      <c r="D26" t="s">
        <v>5</v>
      </c>
      <c r="E26">
        <v>1</v>
      </c>
      <c r="F26">
        <v>2.72719</v>
      </c>
      <c r="G26">
        <v>1</v>
      </c>
      <c r="H26">
        <v>0.574405</v>
      </c>
      <c r="I26">
        <v>1</v>
      </c>
      <c r="J26">
        <f>$H$26/H26</f>
        <v>1</v>
      </c>
    </row>
    <row r="27" spans="1:10">
      <c r="A27">
        <v>150</v>
      </c>
      <c r="B27">
        <v>2</v>
      </c>
      <c r="C27">
        <v>90601</v>
      </c>
      <c r="D27" t="s">
        <v>5</v>
      </c>
      <c r="E27">
        <v>2</v>
      </c>
      <c r="F27">
        <v>2.71946</v>
      </c>
      <c r="G27">
        <v>2</v>
      </c>
      <c r="H27">
        <v>0.530605</v>
      </c>
      <c r="I27">
        <v>2</v>
      </c>
      <c r="J27">
        <f t="shared" ref="J27:J37" si="2">$H$26/H27</f>
        <v>1.08254728093403</v>
      </c>
    </row>
    <row r="28" spans="1:10">
      <c r="A28">
        <v>150</v>
      </c>
      <c r="B28">
        <v>2</v>
      </c>
      <c r="C28">
        <v>90601</v>
      </c>
      <c r="D28" t="s">
        <v>5</v>
      </c>
      <c r="E28">
        <v>3</v>
      </c>
      <c r="F28">
        <v>2.7593</v>
      </c>
      <c r="G28">
        <v>3</v>
      </c>
      <c r="H28">
        <v>0.569469</v>
      </c>
      <c r="I28">
        <v>3</v>
      </c>
      <c r="J28">
        <f t="shared" si="2"/>
        <v>1.00866772379181</v>
      </c>
    </row>
    <row r="29" spans="1:10">
      <c r="A29">
        <v>150</v>
      </c>
      <c r="B29">
        <v>2</v>
      </c>
      <c r="C29">
        <v>90601</v>
      </c>
      <c r="D29" t="s">
        <v>5</v>
      </c>
      <c r="E29">
        <v>4</v>
      </c>
      <c r="F29">
        <v>2.84901</v>
      </c>
      <c r="G29">
        <v>4</v>
      </c>
      <c r="H29">
        <v>0.519758</v>
      </c>
      <c r="I29">
        <v>4</v>
      </c>
      <c r="J29">
        <f t="shared" si="2"/>
        <v>1.10513931483498</v>
      </c>
    </row>
    <row r="30" spans="1:10">
      <c r="A30">
        <v>150</v>
      </c>
      <c r="B30">
        <v>2</v>
      </c>
      <c r="C30">
        <v>90601</v>
      </c>
      <c r="D30" t="s">
        <v>5</v>
      </c>
      <c r="E30">
        <v>5</v>
      </c>
      <c r="F30">
        <v>2.76398</v>
      </c>
      <c r="G30">
        <v>5</v>
      </c>
      <c r="H30">
        <v>0.511009</v>
      </c>
      <c r="I30">
        <v>5</v>
      </c>
      <c r="J30">
        <f t="shared" si="2"/>
        <v>1.12406043729171</v>
      </c>
    </row>
    <row r="31" spans="1:10">
      <c r="A31">
        <v>150</v>
      </c>
      <c r="B31">
        <v>2</v>
      </c>
      <c r="C31">
        <v>90601</v>
      </c>
      <c r="D31" t="s">
        <v>5</v>
      </c>
      <c r="E31">
        <v>6</v>
      </c>
      <c r="F31">
        <v>2.69633</v>
      </c>
      <c r="G31">
        <v>6</v>
      </c>
      <c r="H31">
        <v>0.504452</v>
      </c>
      <c r="I31">
        <v>6</v>
      </c>
      <c r="J31">
        <f t="shared" si="2"/>
        <v>1.13867127100299</v>
      </c>
    </row>
    <row r="32" spans="1:10">
      <c r="A32">
        <v>150</v>
      </c>
      <c r="B32">
        <v>2</v>
      </c>
      <c r="C32">
        <v>90601</v>
      </c>
      <c r="D32" t="s">
        <v>5</v>
      </c>
      <c r="E32">
        <v>7</v>
      </c>
      <c r="F32">
        <v>2.81012</v>
      </c>
      <c r="G32">
        <v>7</v>
      </c>
      <c r="H32">
        <v>0.509469</v>
      </c>
      <c r="I32">
        <v>7</v>
      </c>
      <c r="J32">
        <f t="shared" si="2"/>
        <v>1.12745819667144</v>
      </c>
    </row>
    <row r="33" spans="1:10">
      <c r="A33">
        <v>150</v>
      </c>
      <c r="B33">
        <v>2</v>
      </c>
      <c r="C33">
        <v>90601</v>
      </c>
      <c r="D33" t="s">
        <v>5</v>
      </c>
      <c r="E33">
        <v>8</v>
      </c>
      <c r="F33">
        <v>2.71441</v>
      </c>
      <c r="G33">
        <v>8</v>
      </c>
      <c r="H33">
        <v>0.496937</v>
      </c>
      <c r="I33">
        <v>8</v>
      </c>
      <c r="J33">
        <f t="shared" si="2"/>
        <v>1.15589098819367</v>
      </c>
    </row>
    <row r="34" spans="1:10">
      <c r="A34">
        <v>150</v>
      </c>
      <c r="B34">
        <v>2</v>
      </c>
      <c r="C34">
        <v>90601</v>
      </c>
      <c r="D34" t="s">
        <v>5</v>
      </c>
      <c r="E34">
        <v>9</v>
      </c>
      <c r="F34">
        <v>2.70197</v>
      </c>
      <c r="G34">
        <v>9</v>
      </c>
      <c r="H34">
        <v>0.548433</v>
      </c>
      <c r="I34">
        <v>9</v>
      </c>
      <c r="J34">
        <f t="shared" si="2"/>
        <v>1.04735674184449</v>
      </c>
    </row>
    <row r="35" spans="1:10">
      <c r="A35">
        <v>150</v>
      </c>
      <c r="B35">
        <v>2</v>
      </c>
      <c r="C35">
        <v>90601</v>
      </c>
      <c r="D35" t="s">
        <v>5</v>
      </c>
      <c r="E35">
        <v>10</v>
      </c>
      <c r="F35">
        <v>2.87651</v>
      </c>
      <c r="G35">
        <v>10</v>
      </c>
      <c r="H35">
        <v>0.588465</v>
      </c>
      <c r="I35">
        <v>10</v>
      </c>
      <c r="J35">
        <f t="shared" si="2"/>
        <v>0.976107330087601</v>
      </c>
    </row>
    <row r="36" spans="1:10">
      <c r="A36">
        <v>150</v>
      </c>
      <c r="B36">
        <v>2</v>
      </c>
      <c r="C36">
        <v>90601</v>
      </c>
      <c r="D36" t="s">
        <v>5</v>
      </c>
      <c r="E36">
        <v>11</v>
      </c>
      <c r="F36">
        <v>2.73449</v>
      </c>
      <c r="G36">
        <v>11</v>
      </c>
      <c r="H36">
        <v>0.535437</v>
      </c>
      <c r="I36">
        <v>11</v>
      </c>
      <c r="J36">
        <f t="shared" si="2"/>
        <v>1.07277793652661</v>
      </c>
    </row>
    <row r="37" spans="1:10">
      <c r="A37">
        <v>150</v>
      </c>
      <c r="B37">
        <v>2</v>
      </c>
      <c r="C37">
        <v>90601</v>
      </c>
      <c r="D37" t="s">
        <v>5</v>
      </c>
      <c r="E37">
        <v>12</v>
      </c>
      <c r="F37">
        <v>2.84128</v>
      </c>
      <c r="G37">
        <v>12</v>
      </c>
      <c r="H37">
        <v>0.597807</v>
      </c>
      <c r="I37">
        <v>12</v>
      </c>
      <c r="J37">
        <f t="shared" si="2"/>
        <v>0.960853586525417</v>
      </c>
    </row>
    <row r="38" spans="1:10">
      <c r="A38">
        <v>150</v>
      </c>
      <c r="B38">
        <v>2</v>
      </c>
      <c r="C38">
        <v>90601</v>
      </c>
      <c r="D38" t="s">
        <v>4</v>
      </c>
      <c r="E38">
        <v>1</v>
      </c>
      <c r="F38">
        <v>3.1047</v>
      </c>
      <c r="G38">
        <v>1</v>
      </c>
      <c r="H38">
        <v>0.70699</v>
      </c>
      <c r="I38">
        <v>1</v>
      </c>
      <c r="J38">
        <f>$H$38/H38</f>
        <v>1</v>
      </c>
    </row>
    <row r="39" spans="1:10">
      <c r="A39">
        <v>150</v>
      </c>
      <c r="B39">
        <v>2</v>
      </c>
      <c r="C39">
        <v>90601</v>
      </c>
      <c r="D39" t="s">
        <v>4</v>
      </c>
      <c r="E39">
        <v>2</v>
      </c>
      <c r="F39">
        <v>2.97801</v>
      </c>
      <c r="G39">
        <v>2</v>
      </c>
      <c r="H39">
        <v>0.677075</v>
      </c>
      <c r="I39">
        <v>2</v>
      </c>
      <c r="J39">
        <f t="shared" ref="J39:J49" si="3">$H$38/H39</f>
        <v>1.0441826976332</v>
      </c>
    </row>
    <row r="40" spans="1:10">
      <c r="A40">
        <v>150</v>
      </c>
      <c r="B40">
        <v>2</v>
      </c>
      <c r="C40">
        <v>90601</v>
      </c>
      <c r="D40" t="s">
        <v>4</v>
      </c>
      <c r="E40">
        <v>3</v>
      </c>
      <c r="F40">
        <v>2.88614</v>
      </c>
      <c r="G40">
        <v>3</v>
      </c>
      <c r="H40">
        <v>0.719504</v>
      </c>
      <c r="I40">
        <v>3</v>
      </c>
      <c r="J40">
        <f t="shared" si="3"/>
        <v>0.9826074629189</v>
      </c>
    </row>
    <row r="41" spans="1:10">
      <c r="A41">
        <v>150</v>
      </c>
      <c r="B41">
        <v>2</v>
      </c>
      <c r="C41">
        <v>90601</v>
      </c>
      <c r="D41" t="s">
        <v>4</v>
      </c>
      <c r="E41">
        <v>4</v>
      </c>
      <c r="F41">
        <v>3.2667</v>
      </c>
      <c r="G41">
        <v>4</v>
      </c>
      <c r="H41">
        <v>0.663825</v>
      </c>
      <c r="I41">
        <v>4</v>
      </c>
      <c r="J41">
        <f t="shared" si="3"/>
        <v>1.06502466764584</v>
      </c>
    </row>
    <row r="42" spans="1:10">
      <c r="A42">
        <v>150</v>
      </c>
      <c r="B42">
        <v>2</v>
      </c>
      <c r="C42">
        <v>90601</v>
      </c>
      <c r="D42" t="s">
        <v>4</v>
      </c>
      <c r="E42">
        <v>5</v>
      </c>
      <c r="F42">
        <v>2.82472</v>
      </c>
      <c r="G42">
        <v>5</v>
      </c>
      <c r="H42">
        <v>0.669432</v>
      </c>
      <c r="I42">
        <v>5</v>
      </c>
      <c r="J42">
        <f t="shared" si="3"/>
        <v>1.05610427944885</v>
      </c>
    </row>
    <row r="43" spans="1:10">
      <c r="A43">
        <v>150</v>
      </c>
      <c r="B43">
        <v>2</v>
      </c>
      <c r="C43">
        <v>90601</v>
      </c>
      <c r="D43" t="s">
        <v>4</v>
      </c>
      <c r="E43">
        <v>6</v>
      </c>
      <c r="F43">
        <v>3.0695</v>
      </c>
      <c r="G43">
        <v>6</v>
      </c>
      <c r="H43">
        <v>0.646587</v>
      </c>
      <c r="I43">
        <v>6</v>
      </c>
      <c r="J43">
        <f t="shared" si="3"/>
        <v>1.09341820976914</v>
      </c>
    </row>
    <row r="44" spans="1:10">
      <c r="A44">
        <v>150</v>
      </c>
      <c r="B44">
        <v>2</v>
      </c>
      <c r="C44">
        <v>90601</v>
      </c>
      <c r="D44" t="s">
        <v>4</v>
      </c>
      <c r="E44">
        <v>7</v>
      </c>
      <c r="F44">
        <v>2.78408</v>
      </c>
      <c r="G44">
        <v>7</v>
      </c>
      <c r="H44">
        <v>0.673368</v>
      </c>
      <c r="I44">
        <v>7</v>
      </c>
      <c r="J44">
        <f t="shared" si="3"/>
        <v>1.04993109265662</v>
      </c>
    </row>
    <row r="45" spans="1:10">
      <c r="A45">
        <v>150</v>
      </c>
      <c r="B45">
        <v>2</v>
      </c>
      <c r="C45">
        <v>90601</v>
      </c>
      <c r="D45" t="s">
        <v>4</v>
      </c>
      <c r="E45">
        <v>8</v>
      </c>
      <c r="F45">
        <v>2.87029</v>
      </c>
      <c r="G45">
        <v>8</v>
      </c>
      <c r="H45">
        <v>0.6948</v>
      </c>
      <c r="I45">
        <v>8</v>
      </c>
      <c r="J45">
        <f t="shared" si="3"/>
        <v>1.01754461715602</v>
      </c>
    </row>
    <row r="46" spans="1:10">
      <c r="A46">
        <v>150</v>
      </c>
      <c r="B46">
        <v>2</v>
      </c>
      <c r="C46">
        <v>90601</v>
      </c>
      <c r="D46" t="s">
        <v>4</v>
      </c>
      <c r="E46">
        <v>9</v>
      </c>
      <c r="F46">
        <v>2.83248</v>
      </c>
      <c r="G46">
        <v>9</v>
      </c>
      <c r="H46">
        <v>0.660413</v>
      </c>
      <c r="I46">
        <v>9</v>
      </c>
      <c r="J46">
        <f t="shared" si="3"/>
        <v>1.07052707926706</v>
      </c>
    </row>
    <row r="47" spans="1:10">
      <c r="A47">
        <v>150</v>
      </c>
      <c r="B47">
        <v>2</v>
      </c>
      <c r="C47">
        <v>90601</v>
      </c>
      <c r="D47" t="s">
        <v>4</v>
      </c>
      <c r="E47">
        <v>10</v>
      </c>
      <c r="F47">
        <v>2.8575</v>
      </c>
      <c r="G47">
        <v>10</v>
      </c>
      <c r="H47">
        <v>0.715242</v>
      </c>
      <c r="I47">
        <v>10</v>
      </c>
      <c r="J47">
        <f t="shared" si="3"/>
        <v>0.988462646209255</v>
      </c>
    </row>
    <row r="48" spans="1:10">
      <c r="A48">
        <v>150</v>
      </c>
      <c r="B48">
        <v>2</v>
      </c>
      <c r="C48">
        <v>90601</v>
      </c>
      <c r="D48" t="s">
        <v>4</v>
      </c>
      <c r="E48">
        <v>11</v>
      </c>
      <c r="F48">
        <v>2.97238</v>
      </c>
      <c r="G48">
        <v>11</v>
      </c>
      <c r="H48">
        <v>0.700698</v>
      </c>
      <c r="I48">
        <v>11</v>
      </c>
      <c r="J48">
        <f t="shared" si="3"/>
        <v>1.00897961746715</v>
      </c>
    </row>
    <row r="49" spans="1:10">
      <c r="A49">
        <v>150</v>
      </c>
      <c r="B49">
        <v>2</v>
      </c>
      <c r="C49">
        <v>90601</v>
      </c>
      <c r="D49" t="s">
        <v>4</v>
      </c>
      <c r="E49">
        <v>12</v>
      </c>
      <c r="F49">
        <v>2.7473</v>
      </c>
      <c r="G49">
        <v>12</v>
      </c>
      <c r="H49">
        <v>0.65815</v>
      </c>
      <c r="I49">
        <v>12</v>
      </c>
      <c r="J49">
        <f t="shared" si="3"/>
        <v>1.07420800729317</v>
      </c>
    </row>
    <row r="50" spans="1:10">
      <c r="A50">
        <v>150</v>
      </c>
      <c r="B50">
        <v>3</v>
      </c>
      <c r="C50">
        <v>203401</v>
      </c>
      <c r="D50" t="s">
        <v>5</v>
      </c>
      <c r="E50">
        <v>1</v>
      </c>
      <c r="F50">
        <v>9.05964</v>
      </c>
      <c r="G50">
        <v>1</v>
      </c>
      <c r="H50">
        <v>1.24268</v>
      </c>
      <c r="I50">
        <v>1</v>
      </c>
      <c r="J50">
        <f>$H$50/H50</f>
        <v>1</v>
      </c>
    </row>
    <row r="51" spans="1:10">
      <c r="A51">
        <v>150</v>
      </c>
      <c r="B51">
        <v>3</v>
      </c>
      <c r="C51">
        <v>203401</v>
      </c>
      <c r="D51" t="s">
        <v>5</v>
      </c>
      <c r="E51">
        <v>2</v>
      </c>
      <c r="F51">
        <v>9.33381</v>
      </c>
      <c r="G51">
        <v>2</v>
      </c>
      <c r="H51">
        <v>1.16262</v>
      </c>
      <c r="I51">
        <v>2</v>
      </c>
      <c r="J51">
        <f t="shared" ref="J51:J61" si="4">$H$50/H51</f>
        <v>1.06886170889887</v>
      </c>
    </row>
    <row r="52" spans="1:10">
      <c r="A52">
        <v>150</v>
      </c>
      <c r="B52">
        <v>3</v>
      </c>
      <c r="C52">
        <v>203401</v>
      </c>
      <c r="D52" t="s">
        <v>5</v>
      </c>
      <c r="E52">
        <v>3</v>
      </c>
      <c r="F52">
        <v>9.45569</v>
      </c>
      <c r="G52">
        <v>3</v>
      </c>
      <c r="H52">
        <v>1.15989</v>
      </c>
      <c r="I52">
        <v>3</v>
      </c>
      <c r="J52">
        <f t="shared" si="4"/>
        <v>1.07137745820724</v>
      </c>
    </row>
    <row r="53" spans="1:10">
      <c r="A53">
        <v>150</v>
      </c>
      <c r="B53">
        <v>3</v>
      </c>
      <c r="C53">
        <v>203401</v>
      </c>
      <c r="D53" t="s">
        <v>5</v>
      </c>
      <c r="E53">
        <v>4</v>
      </c>
      <c r="F53">
        <v>9.37559</v>
      </c>
      <c r="G53">
        <v>4</v>
      </c>
      <c r="H53">
        <v>1.15695</v>
      </c>
      <c r="I53">
        <v>4</v>
      </c>
      <c r="J53">
        <f t="shared" si="4"/>
        <v>1.07410000432171</v>
      </c>
    </row>
    <row r="54" spans="1:10">
      <c r="A54">
        <v>150</v>
      </c>
      <c r="B54">
        <v>3</v>
      </c>
      <c r="C54">
        <v>203401</v>
      </c>
      <c r="D54" t="s">
        <v>5</v>
      </c>
      <c r="E54">
        <v>5</v>
      </c>
      <c r="F54">
        <v>9.52709</v>
      </c>
      <c r="G54">
        <v>5</v>
      </c>
      <c r="H54">
        <v>1.14293</v>
      </c>
      <c r="I54">
        <v>5</v>
      </c>
      <c r="J54">
        <f t="shared" si="4"/>
        <v>1.08727568617501</v>
      </c>
    </row>
    <row r="55" spans="1:10">
      <c r="A55">
        <v>150</v>
      </c>
      <c r="B55">
        <v>3</v>
      </c>
      <c r="C55">
        <v>203401</v>
      </c>
      <c r="D55" t="s">
        <v>5</v>
      </c>
      <c r="E55">
        <v>6</v>
      </c>
      <c r="F55">
        <v>9.56189</v>
      </c>
      <c r="G55">
        <v>6</v>
      </c>
      <c r="H55">
        <v>1.08691</v>
      </c>
      <c r="I55">
        <v>6</v>
      </c>
      <c r="J55">
        <f t="shared" si="4"/>
        <v>1.14331453386205</v>
      </c>
    </row>
    <row r="56" spans="1:10">
      <c r="A56">
        <v>150</v>
      </c>
      <c r="B56">
        <v>3</v>
      </c>
      <c r="C56">
        <v>203401</v>
      </c>
      <c r="D56" t="s">
        <v>5</v>
      </c>
      <c r="E56">
        <v>7</v>
      </c>
      <c r="F56">
        <v>9.19378</v>
      </c>
      <c r="G56">
        <v>7</v>
      </c>
      <c r="H56">
        <v>1.09422</v>
      </c>
      <c r="I56">
        <v>7</v>
      </c>
      <c r="J56">
        <f t="shared" si="4"/>
        <v>1.13567655498894</v>
      </c>
    </row>
    <row r="57" spans="1:10">
      <c r="A57">
        <v>150</v>
      </c>
      <c r="B57">
        <v>3</v>
      </c>
      <c r="C57">
        <v>203401</v>
      </c>
      <c r="D57" t="s">
        <v>5</v>
      </c>
      <c r="E57">
        <v>8</v>
      </c>
      <c r="F57">
        <v>9.20452</v>
      </c>
      <c r="G57">
        <v>8</v>
      </c>
      <c r="H57">
        <v>1.23425</v>
      </c>
      <c r="I57">
        <v>8</v>
      </c>
      <c r="J57">
        <f t="shared" si="4"/>
        <v>1.00683005874013</v>
      </c>
    </row>
    <row r="58" spans="1:10">
      <c r="A58">
        <v>150</v>
      </c>
      <c r="B58">
        <v>3</v>
      </c>
      <c r="C58">
        <v>203401</v>
      </c>
      <c r="D58" t="s">
        <v>5</v>
      </c>
      <c r="E58">
        <v>9</v>
      </c>
      <c r="F58">
        <v>9.31329</v>
      </c>
      <c r="G58">
        <v>9</v>
      </c>
      <c r="H58">
        <v>1.16845</v>
      </c>
      <c r="I58">
        <v>9</v>
      </c>
      <c r="J58">
        <f t="shared" si="4"/>
        <v>1.06352860627327</v>
      </c>
    </row>
    <row r="59" spans="1:10">
      <c r="A59">
        <v>150</v>
      </c>
      <c r="B59">
        <v>3</v>
      </c>
      <c r="C59">
        <v>203401</v>
      </c>
      <c r="D59" t="s">
        <v>5</v>
      </c>
      <c r="E59">
        <v>10</v>
      </c>
      <c r="F59">
        <v>9.34492</v>
      </c>
      <c r="G59">
        <v>10</v>
      </c>
      <c r="H59">
        <v>1.25845</v>
      </c>
      <c r="I59">
        <v>10</v>
      </c>
      <c r="J59">
        <f t="shared" si="4"/>
        <v>0.987468711510191</v>
      </c>
    </row>
    <row r="60" spans="1:10">
      <c r="A60">
        <v>150</v>
      </c>
      <c r="B60">
        <v>3</v>
      </c>
      <c r="C60">
        <v>203401</v>
      </c>
      <c r="D60" t="s">
        <v>5</v>
      </c>
      <c r="E60">
        <v>11</v>
      </c>
      <c r="F60">
        <v>9.54315</v>
      </c>
      <c r="G60">
        <v>11</v>
      </c>
      <c r="H60">
        <v>1.19801</v>
      </c>
      <c r="I60">
        <v>11</v>
      </c>
      <c r="J60">
        <f t="shared" si="4"/>
        <v>1.03728683399972</v>
      </c>
    </row>
    <row r="61" spans="1:10">
      <c r="A61">
        <v>150</v>
      </c>
      <c r="B61">
        <v>3</v>
      </c>
      <c r="C61">
        <v>203401</v>
      </c>
      <c r="D61" t="s">
        <v>5</v>
      </c>
      <c r="E61">
        <v>12</v>
      </c>
      <c r="F61">
        <v>9.71008</v>
      </c>
      <c r="G61">
        <v>12</v>
      </c>
      <c r="H61">
        <v>1.24219</v>
      </c>
      <c r="I61">
        <v>12</v>
      </c>
      <c r="J61">
        <f t="shared" si="4"/>
        <v>1.00039446461491</v>
      </c>
    </row>
    <row r="62" spans="1:10">
      <c r="A62">
        <v>150</v>
      </c>
      <c r="B62">
        <v>3</v>
      </c>
      <c r="C62">
        <v>203401</v>
      </c>
      <c r="D62" t="s">
        <v>4</v>
      </c>
      <c r="E62">
        <v>1</v>
      </c>
      <c r="F62">
        <v>9.976</v>
      </c>
      <c r="G62">
        <v>1</v>
      </c>
      <c r="H62">
        <v>1.4415</v>
      </c>
      <c r="I62">
        <v>1</v>
      </c>
      <c r="J62">
        <f>$H$62/H62</f>
        <v>1</v>
      </c>
    </row>
    <row r="63" spans="1:10">
      <c r="A63">
        <v>150</v>
      </c>
      <c r="B63">
        <v>3</v>
      </c>
      <c r="C63">
        <v>203401</v>
      </c>
      <c r="D63" t="s">
        <v>4</v>
      </c>
      <c r="E63">
        <v>2</v>
      </c>
      <c r="F63">
        <v>9.69262</v>
      </c>
      <c r="G63">
        <v>2</v>
      </c>
      <c r="H63">
        <v>1.48369</v>
      </c>
      <c r="I63">
        <v>2</v>
      </c>
      <c r="J63">
        <f t="shared" ref="J63:J73" si="5">$H$62/H63</f>
        <v>0.971564140757166</v>
      </c>
    </row>
    <row r="64" spans="1:10">
      <c r="A64">
        <v>150</v>
      </c>
      <c r="B64">
        <v>3</v>
      </c>
      <c r="C64">
        <v>203401</v>
      </c>
      <c r="D64" t="s">
        <v>4</v>
      </c>
      <c r="E64">
        <v>3</v>
      </c>
      <c r="F64">
        <v>9.73316</v>
      </c>
      <c r="G64">
        <v>3</v>
      </c>
      <c r="H64">
        <v>1.4634</v>
      </c>
      <c r="I64">
        <v>3</v>
      </c>
      <c r="J64">
        <f t="shared" si="5"/>
        <v>0.985034850348503</v>
      </c>
    </row>
    <row r="65" spans="1:10">
      <c r="A65">
        <v>150</v>
      </c>
      <c r="B65">
        <v>3</v>
      </c>
      <c r="C65">
        <v>203401</v>
      </c>
      <c r="D65" t="s">
        <v>4</v>
      </c>
      <c r="E65">
        <v>4</v>
      </c>
      <c r="F65">
        <v>9.88064</v>
      </c>
      <c r="G65">
        <v>4</v>
      </c>
      <c r="H65">
        <v>1.44853</v>
      </c>
      <c r="I65">
        <v>4</v>
      </c>
      <c r="J65">
        <f t="shared" si="5"/>
        <v>0.995146804001298</v>
      </c>
    </row>
    <row r="66" spans="1:10">
      <c r="A66">
        <v>150</v>
      </c>
      <c r="B66">
        <v>3</v>
      </c>
      <c r="C66">
        <v>203401</v>
      </c>
      <c r="D66" t="s">
        <v>4</v>
      </c>
      <c r="E66">
        <v>5</v>
      </c>
      <c r="F66">
        <v>9.79138</v>
      </c>
      <c r="G66">
        <v>5</v>
      </c>
      <c r="H66">
        <v>1.76297</v>
      </c>
      <c r="I66">
        <v>5</v>
      </c>
      <c r="J66">
        <f t="shared" si="5"/>
        <v>0.817654299279058</v>
      </c>
    </row>
    <row r="67" spans="1:10">
      <c r="A67">
        <v>150</v>
      </c>
      <c r="B67">
        <v>3</v>
      </c>
      <c r="C67">
        <v>203401</v>
      </c>
      <c r="D67" t="s">
        <v>4</v>
      </c>
      <c r="E67">
        <v>6</v>
      </c>
      <c r="F67">
        <v>10.6096</v>
      </c>
      <c r="G67">
        <v>6</v>
      </c>
      <c r="H67">
        <v>1.46822</v>
      </c>
      <c r="I67">
        <v>6</v>
      </c>
      <c r="J67">
        <f t="shared" si="5"/>
        <v>0.981801092479329</v>
      </c>
    </row>
    <row r="68" spans="1:10">
      <c r="A68">
        <v>150</v>
      </c>
      <c r="B68">
        <v>3</v>
      </c>
      <c r="C68">
        <v>203401</v>
      </c>
      <c r="D68" t="s">
        <v>4</v>
      </c>
      <c r="E68">
        <v>7</v>
      </c>
      <c r="F68">
        <v>10.4899</v>
      </c>
      <c r="G68">
        <v>7</v>
      </c>
      <c r="H68">
        <v>1.76929</v>
      </c>
      <c r="I68">
        <v>7</v>
      </c>
      <c r="J68">
        <f t="shared" si="5"/>
        <v>0.814733593701428</v>
      </c>
    </row>
    <row r="69" spans="1:10">
      <c r="A69">
        <v>150</v>
      </c>
      <c r="B69">
        <v>3</v>
      </c>
      <c r="C69">
        <v>203401</v>
      </c>
      <c r="D69" t="s">
        <v>4</v>
      </c>
      <c r="E69">
        <v>8</v>
      </c>
      <c r="F69">
        <v>10.9989</v>
      </c>
      <c r="G69">
        <v>8</v>
      </c>
      <c r="H69">
        <v>1.84953</v>
      </c>
      <c r="I69">
        <v>8</v>
      </c>
      <c r="J69">
        <f t="shared" si="5"/>
        <v>0.779387195665926</v>
      </c>
    </row>
    <row r="70" spans="1:10">
      <c r="A70">
        <v>150</v>
      </c>
      <c r="B70">
        <v>3</v>
      </c>
      <c r="C70">
        <v>203401</v>
      </c>
      <c r="D70" t="s">
        <v>4</v>
      </c>
      <c r="E70">
        <v>9</v>
      </c>
      <c r="F70">
        <v>10.7954</v>
      </c>
      <c r="G70">
        <v>9</v>
      </c>
      <c r="H70">
        <v>1.70258</v>
      </c>
      <c r="I70">
        <v>9</v>
      </c>
      <c r="J70">
        <f t="shared" si="5"/>
        <v>0.84665625110127</v>
      </c>
    </row>
    <row r="71" spans="1:10">
      <c r="A71">
        <v>150</v>
      </c>
      <c r="B71">
        <v>3</v>
      </c>
      <c r="C71">
        <v>203401</v>
      </c>
      <c r="D71" t="s">
        <v>4</v>
      </c>
      <c r="E71">
        <v>10</v>
      </c>
      <c r="F71">
        <v>10.7449</v>
      </c>
      <c r="G71">
        <v>10</v>
      </c>
      <c r="H71">
        <v>1.75778</v>
      </c>
      <c r="I71">
        <v>10</v>
      </c>
      <c r="J71">
        <f t="shared" si="5"/>
        <v>0.820068495488628</v>
      </c>
    </row>
    <row r="72" spans="1:10">
      <c r="A72">
        <v>150</v>
      </c>
      <c r="B72">
        <v>3</v>
      </c>
      <c r="C72">
        <v>203401</v>
      </c>
      <c r="D72" t="s">
        <v>4</v>
      </c>
      <c r="E72">
        <v>11</v>
      </c>
      <c r="F72">
        <v>10.9628</v>
      </c>
      <c r="G72">
        <v>11</v>
      </c>
      <c r="H72">
        <v>1.74591</v>
      </c>
      <c r="I72">
        <v>11</v>
      </c>
      <c r="J72">
        <f t="shared" si="5"/>
        <v>0.825643933536093</v>
      </c>
    </row>
    <row r="73" spans="1:10">
      <c r="A73">
        <v>150</v>
      </c>
      <c r="B73">
        <v>3</v>
      </c>
      <c r="C73">
        <v>203401</v>
      </c>
      <c r="D73" t="s">
        <v>4</v>
      </c>
      <c r="E73">
        <v>12</v>
      </c>
      <c r="F73">
        <v>10.1927</v>
      </c>
      <c r="G73">
        <v>12</v>
      </c>
      <c r="H73">
        <v>1.49886</v>
      </c>
      <c r="I73">
        <v>12</v>
      </c>
      <c r="J73">
        <f t="shared" si="5"/>
        <v>0.961730915495777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solver_performance_results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</cp:lastModifiedBy>
  <dcterms:created xsi:type="dcterms:W3CDTF">2025-12-18T16:08:33Z</dcterms:created>
  <dcterms:modified xsi:type="dcterms:W3CDTF">2025-12-18T16:36:11Z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